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2_apps\03_Fonneta\Fonnetapp\pruebasgio\"/>
    </mc:Choice>
  </mc:AlternateContent>
  <xr:revisionPtr revIDLastSave="0" documentId="8_{28C97ED5-E747-4A62-9348-76A57DEDF0B3}" xr6:coauthVersionLast="47" xr6:coauthVersionMax="47" xr10:uidLastSave="{00000000-0000-0000-0000-000000000000}"/>
  <bookViews>
    <workbookView xWindow="67080" yWindow="-120" windowWidth="38640" windowHeight="15720" activeTab="2" xr2:uid="{7630F282-DE1F-45A0-AE9E-BB01AD28F989}"/>
  </bookViews>
  <sheets>
    <sheet name="Hoja2" sheetId="2" r:id="rId1"/>
    <sheet name="Hoja3" sheetId="3" r:id="rId2"/>
    <sheet name="Hoja1" sheetId="1" r:id="rId3"/>
  </sheets>
  <calcPr calcId="191029"/>
  <pivotCaches>
    <pivotCache cacheId="3" r:id="rId4"/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G38" i="1"/>
</calcChain>
</file>

<file path=xl/sharedStrings.xml><?xml version="1.0" encoding="utf-8"?>
<sst xmlns="http://schemas.openxmlformats.org/spreadsheetml/2006/main" count="294" uniqueCount="57">
  <si>
    <t>Categoría</t>
  </si>
  <si>
    <t>Transporte aéreo</t>
  </si>
  <si>
    <t>Transporte terrestre</t>
  </si>
  <si>
    <t>Transporte fluvial y marítimo</t>
  </si>
  <si>
    <t>Excesos de equipaje</t>
  </si>
  <si>
    <t>Impuestos aeroportuarios</t>
  </si>
  <si>
    <t>Visas</t>
  </si>
  <si>
    <t>Seguros</t>
  </si>
  <si>
    <t>Alojamiento</t>
  </si>
  <si>
    <t>Viáticos</t>
  </si>
  <si>
    <t>Freelancers (Fotógrafo, Videógrafo, Periodista)</t>
  </si>
  <si>
    <t>Modelos</t>
  </si>
  <si>
    <t>Vestuario (Ropa e indumentaria)</t>
  </si>
  <si>
    <t>Mobiliario</t>
  </si>
  <si>
    <t>Coordinador revista</t>
  </si>
  <si>
    <t>Director arte revista</t>
  </si>
  <si>
    <t>Editor general revista</t>
  </si>
  <si>
    <t>Ilustrador</t>
  </si>
  <si>
    <t>Corrector estilo</t>
  </si>
  <si>
    <t>Alimentación</t>
  </si>
  <si>
    <t>Servicios TIC</t>
  </si>
  <si>
    <t>Logística</t>
  </si>
  <si>
    <t>Servicios Salud, insumos y suministros</t>
  </si>
  <si>
    <t>Pauta redes</t>
  </si>
  <si>
    <t>Diseño</t>
  </si>
  <si>
    <t>Publicidad</t>
  </si>
  <si>
    <t>Imprenta / Impresión</t>
  </si>
  <si>
    <t>Comisión x venta</t>
  </si>
  <si>
    <t>Reintegros</t>
  </si>
  <si>
    <t>Bodegaje</t>
  </si>
  <si>
    <t>Transporte</t>
  </si>
  <si>
    <t>Producción</t>
  </si>
  <si>
    <t>Maquillaje Peinado</t>
  </si>
  <si>
    <t>Periodistas</t>
  </si>
  <si>
    <t>Personal Proyectos</t>
  </si>
  <si>
    <t>Transporte de carga y mensajeria</t>
  </si>
  <si>
    <t>Gastos Fijos</t>
  </si>
  <si>
    <t>Arriendo</t>
  </si>
  <si>
    <t xml:space="preserve">Administracion </t>
  </si>
  <si>
    <t xml:space="preserve">Servicios </t>
  </si>
  <si>
    <t>Nomina Fonneta</t>
  </si>
  <si>
    <t>Contratistas Fonneta</t>
  </si>
  <si>
    <t>Contabilidad</t>
  </si>
  <si>
    <t>Gastos Proyectos</t>
  </si>
  <si>
    <t>Etiquetas de fila</t>
  </si>
  <si>
    <t>Total general</t>
  </si>
  <si>
    <t>Cuenta de Ítem de Gasto</t>
  </si>
  <si>
    <t>Subcategoría 1</t>
  </si>
  <si>
    <t>Subcategoría 2</t>
  </si>
  <si>
    <t>Impresión</t>
  </si>
  <si>
    <t>Personal</t>
  </si>
  <si>
    <t>Pauta Impresa</t>
  </si>
  <si>
    <t>(en blanco)</t>
  </si>
  <si>
    <t>Servicios Publicos</t>
  </si>
  <si>
    <t xml:space="preserve">Arriendo Administracion </t>
  </si>
  <si>
    <t>Servicios Contabilidad</t>
  </si>
  <si>
    <t>Servicios Juridicos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</si>
</sst>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43.646278819448" createdVersion="8" refreshedVersion="8" minRefreshableVersion="3" recordCount="38" xr:uid="{8408901C-E424-4B21-A495-984E19902750}">
  <cacheSource type="worksheet">
    <worksheetSource ref="B1:C35" sheet="Hoja1"/>
  </cacheSource>
  <cacheFields count="2">
    <cacheField name="Categoría" numFmtId="0">
      <sharedItems count="11">
        <s v="Transporte"/>
        <s v="Seguros"/>
        <s v="Alojamiento"/>
        <s v="Viáticos"/>
        <s v="Alimentación"/>
        <s v="Producción"/>
        <s v="Personal Proyectos"/>
        <s v="Gastos Proyectos"/>
        <s v="Nomina Fonneta"/>
        <s v="Contratistas Fonneta"/>
        <s v="Gastos Fijos"/>
      </sharedItems>
    </cacheField>
    <cacheField name="Ítem de Gas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43.648917592589" createdVersion="8" refreshedVersion="8" minRefreshableVersion="3" recordCount="78" xr:uid="{4499D5FD-26BD-4976-854F-ED5C7B034387}">
  <cacheSource type="worksheet">
    <worksheetSource ref="A1:C73" sheet="Hoja1"/>
  </cacheSource>
  <cacheFields count="3">
    <cacheField name="Categoría" numFmtId="0">
      <sharedItems/>
    </cacheField>
    <cacheField name="Subcategoría 1" numFmtId="0">
      <sharedItems count="17">
        <s v="Transporte"/>
        <s v="Seguros"/>
        <s v="Alojamiento"/>
        <s v="Viáticos"/>
        <s v="Alimentación"/>
        <s v="Producción"/>
        <s v="Personal"/>
        <s v="Servicios TIC"/>
        <s v="Logística"/>
        <s v="Servicios Salud, insumos y suministros"/>
        <s v="Publicidad"/>
        <s v="Diseño"/>
        <s v="Impresión"/>
        <s v="Gastos Proyectos"/>
        <s v="Nomina Fonneta"/>
        <s v="Contratistas Fonneta"/>
        <s v="Gastos Fijos"/>
      </sharedItems>
    </cacheField>
    <cacheField name="Subcategoría 2" numFmtId="0">
      <sharedItems containsBlank="1" count="38">
        <s v="Transporte aéreo"/>
        <s v="Transporte terrestre"/>
        <s v="Transporte fluvial y marítimo"/>
        <s v="Transporte de carga y mensajeria"/>
        <s v="Excesos de equipaje"/>
        <s v="Impuestos aeroportuarios"/>
        <s v="Visas"/>
        <s v="Seguros"/>
        <s v="Alojamiento"/>
        <s v="Viáticos"/>
        <s v="Alimentación"/>
        <s v="Freelancers (Fotógrafo, Videógrafo, Periodista)"/>
        <s v="Modelos"/>
        <s v="Maquillaje Peinado"/>
        <s v="Vestuario (Ropa e indumentaria)"/>
        <s v="Mobiliario"/>
        <s v="Coordinador revista"/>
        <s v="Director arte revista"/>
        <s v="Editor general revista"/>
        <s v="Ilustrador"/>
        <s v="Corrector estilo"/>
        <s v="Periodistas"/>
        <s v="Servicios TIC"/>
        <s v="Logística"/>
        <s v="Servicios Salud, insumos y suministros"/>
        <s v="Pauta redes"/>
        <s v="Pauta Impresa"/>
        <s v="Diseño"/>
        <s v="Publicidad"/>
        <s v="Imprenta / Impresión"/>
        <s v="Comisión x venta"/>
        <s v="Reintegros"/>
        <s v="Bodegaje"/>
        <m/>
        <s v="Arriendo"/>
        <s v="Administracion "/>
        <s v="Servicios "/>
        <s v="Contabilida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x v="0"/>
    <s v="Transporte aéreo"/>
  </r>
  <r>
    <x v="0"/>
    <s v="Transporte terrestre"/>
  </r>
  <r>
    <x v="0"/>
    <s v="Transporte fluvial y marítimo"/>
  </r>
  <r>
    <x v="0"/>
    <s v="Transporte de carga y mensajeria"/>
  </r>
  <r>
    <x v="0"/>
    <s v="Excesos de equipaje"/>
  </r>
  <r>
    <x v="0"/>
    <s v="Impuestos aeroportuarios"/>
  </r>
  <r>
    <x v="0"/>
    <s v="Visas"/>
  </r>
  <r>
    <x v="1"/>
    <s v="Seguros"/>
  </r>
  <r>
    <x v="2"/>
    <s v="Alojamiento"/>
  </r>
  <r>
    <x v="3"/>
    <s v="Viáticos"/>
  </r>
  <r>
    <x v="4"/>
    <s v="Alimentación"/>
  </r>
  <r>
    <x v="5"/>
    <s v="Freelancers (Fotógrafo, Videógrafo, Periodista)"/>
  </r>
  <r>
    <x v="5"/>
    <s v="Modelos"/>
  </r>
  <r>
    <x v="5"/>
    <s v="Maquillaje Peinado"/>
  </r>
  <r>
    <x v="5"/>
    <s v="Vestuario (Ropa e indumentaria)"/>
  </r>
  <r>
    <x v="5"/>
    <s v="Mobiliario"/>
  </r>
  <r>
    <x v="6"/>
    <s v="Coordinador revista"/>
  </r>
  <r>
    <x v="6"/>
    <s v="Director arte revista"/>
  </r>
  <r>
    <x v="6"/>
    <s v="Editor general revista"/>
  </r>
  <r>
    <x v="6"/>
    <s v="Ilustrador"/>
  </r>
  <r>
    <x v="6"/>
    <s v="Corrector estilo"/>
  </r>
  <r>
    <x v="6"/>
    <s v="Periodistas"/>
  </r>
  <r>
    <x v="7"/>
    <s v="Servicios TIC"/>
  </r>
  <r>
    <x v="7"/>
    <s v="Logística"/>
  </r>
  <r>
    <x v="7"/>
    <s v="Servicios Salud, insumos y suministros"/>
  </r>
  <r>
    <x v="7"/>
    <s v="Pauta redes"/>
  </r>
  <r>
    <x v="7"/>
    <s v="Diseño"/>
  </r>
  <r>
    <x v="7"/>
    <s v="Publicidad"/>
  </r>
  <r>
    <x v="7"/>
    <s v="Imprenta / Impresión"/>
  </r>
  <r>
    <x v="7"/>
    <s v="Comisión x venta"/>
  </r>
  <r>
    <x v="7"/>
    <s v="Reintegros"/>
  </r>
  <r>
    <x v="7"/>
    <s v="Bodegaje"/>
  </r>
  <r>
    <x v="8"/>
    <m/>
  </r>
  <r>
    <x v="9"/>
    <m/>
  </r>
  <r>
    <x v="10"/>
    <s v="Arriendo"/>
  </r>
  <r>
    <x v="10"/>
    <s v="Administracion "/>
  </r>
  <r>
    <x v="10"/>
    <s v="Servicios "/>
  </r>
  <r>
    <x v="10"/>
    <s v="Contabilida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Gastos Proyectos"/>
    <x v="0"/>
    <x v="0"/>
  </r>
  <r>
    <s v="Gastos Proyectos"/>
    <x v="0"/>
    <x v="1"/>
  </r>
  <r>
    <s v="Gastos Proyectos"/>
    <x v="0"/>
    <x v="2"/>
  </r>
  <r>
    <s v="Gastos Proyectos"/>
    <x v="0"/>
    <x v="3"/>
  </r>
  <r>
    <s v="Gastos Proyectos"/>
    <x v="0"/>
    <x v="4"/>
  </r>
  <r>
    <s v="Gastos Proyectos"/>
    <x v="0"/>
    <x v="5"/>
  </r>
  <r>
    <s v="Gastos Proyectos"/>
    <x v="0"/>
    <x v="6"/>
  </r>
  <r>
    <s v="Gastos Proyectos"/>
    <x v="1"/>
    <x v="7"/>
  </r>
  <r>
    <s v="Gastos Proyectos"/>
    <x v="2"/>
    <x v="8"/>
  </r>
  <r>
    <s v="Gastos Proyectos"/>
    <x v="3"/>
    <x v="9"/>
  </r>
  <r>
    <s v="Gastos Proyectos"/>
    <x v="4"/>
    <x v="10"/>
  </r>
  <r>
    <s v="Gastos Proyectos"/>
    <x v="5"/>
    <x v="11"/>
  </r>
  <r>
    <s v="Gastos Proyectos"/>
    <x v="5"/>
    <x v="12"/>
  </r>
  <r>
    <s v="Gastos Proyectos"/>
    <x v="5"/>
    <x v="13"/>
  </r>
  <r>
    <s v="Gastos Proyectos"/>
    <x v="5"/>
    <x v="14"/>
  </r>
  <r>
    <s v="Gastos Proyectos"/>
    <x v="5"/>
    <x v="15"/>
  </r>
  <r>
    <s v="Gastos Proyectos"/>
    <x v="6"/>
    <x v="16"/>
  </r>
  <r>
    <s v="Gastos Proyectos"/>
    <x v="6"/>
    <x v="17"/>
  </r>
  <r>
    <s v="Gastos Proyectos"/>
    <x v="6"/>
    <x v="18"/>
  </r>
  <r>
    <s v="Gastos Proyectos"/>
    <x v="6"/>
    <x v="19"/>
  </r>
  <r>
    <s v="Gastos Proyectos"/>
    <x v="6"/>
    <x v="20"/>
  </r>
  <r>
    <s v="Gastos Proyectos"/>
    <x v="6"/>
    <x v="21"/>
  </r>
  <r>
    <s v="Gastos Proyectos"/>
    <x v="7"/>
    <x v="22"/>
  </r>
  <r>
    <s v="Gastos Proyectos"/>
    <x v="8"/>
    <x v="23"/>
  </r>
  <r>
    <s v="Gastos Proyectos"/>
    <x v="9"/>
    <x v="24"/>
  </r>
  <r>
    <s v="Gastos Proyectos"/>
    <x v="10"/>
    <x v="25"/>
  </r>
  <r>
    <s v="Gastos Proyectos"/>
    <x v="10"/>
    <x v="26"/>
  </r>
  <r>
    <s v="Gastos Proyectos"/>
    <x v="11"/>
    <x v="27"/>
  </r>
  <r>
    <s v="Gastos Proyectos"/>
    <x v="10"/>
    <x v="28"/>
  </r>
  <r>
    <s v="Gastos Proyectos"/>
    <x v="12"/>
    <x v="29"/>
  </r>
  <r>
    <s v="Gastos Proyectos"/>
    <x v="13"/>
    <x v="30"/>
  </r>
  <r>
    <s v="Gastos Proyectos"/>
    <x v="13"/>
    <x v="31"/>
  </r>
  <r>
    <s v="Gastos Proyectos"/>
    <x v="13"/>
    <x v="32"/>
  </r>
  <r>
    <s v="Gastos Proyectos"/>
    <x v="14"/>
    <x v="33"/>
  </r>
  <r>
    <s v="Gastos Proyectos"/>
    <x v="15"/>
    <x v="33"/>
  </r>
  <r>
    <s v="Gastos Proyectos"/>
    <x v="16"/>
    <x v="34"/>
  </r>
  <r>
    <s v="Gastos Proyectos"/>
    <x v="16"/>
    <x v="35"/>
  </r>
  <r>
    <s v="Gastos Proyectos"/>
    <x v="16"/>
    <x v="36"/>
  </r>
  <r>
    <s v="Gastos Proyectos"/>
    <x v="16"/>
    <x v="37"/>
  </r>
  <r>
    <s v="Gastos Fijos"/>
    <x v="0"/>
    <x v="0"/>
  </r>
  <r>
    <s v="Gastos Fijos"/>
    <x v="0"/>
    <x v="1"/>
  </r>
  <r>
    <s v="Gastos Fijos"/>
    <x v="0"/>
    <x v="2"/>
  </r>
  <r>
    <s v="Gastos Fijos"/>
    <x v="0"/>
    <x v="3"/>
  </r>
  <r>
    <s v="Gastos Fijos"/>
    <x v="0"/>
    <x v="4"/>
  </r>
  <r>
    <s v="Gastos Fijos"/>
    <x v="0"/>
    <x v="5"/>
  </r>
  <r>
    <s v="Gastos Fijos"/>
    <x v="0"/>
    <x v="6"/>
  </r>
  <r>
    <s v="Gastos Fijos"/>
    <x v="1"/>
    <x v="7"/>
  </r>
  <r>
    <s v="Gastos Fijos"/>
    <x v="2"/>
    <x v="8"/>
  </r>
  <r>
    <s v="Gastos Fijos"/>
    <x v="3"/>
    <x v="9"/>
  </r>
  <r>
    <s v="Gastos Fijos"/>
    <x v="4"/>
    <x v="10"/>
  </r>
  <r>
    <s v="Gastos Fijos"/>
    <x v="5"/>
    <x v="11"/>
  </r>
  <r>
    <s v="Gastos Fijos"/>
    <x v="5"/>
    <x v="12"/>
  </r>
  <r>
    <s v="Gastos Fijos"/>
    <x v="5"/>
    <x v="13"/>
  </r>
  <r>
    <s v="Gastos Fijos"/>
    <x v="5"/>
    <x v="14"/>
  </r>
  <r>
    <s v="Gastos Fijos"/>
    <x v="5"/>
    <x v="15"/>
  </r>
  <r>
    <s v="Gastos Fijos"/>
    <x v="6"/>
    <x v="16"/>
  </r>
  <r>
    <s v="Gastos Fijos"/>
    <x v="6"/>
    <x v="17"/>
  </r>
  <r>
    <s v="Gastos Fijos"/>
    <x v="6"/>
    <x v="18"/>
  </r>
  <r>
    <s v="Gastos Fijos"/>
    <x v="6"/>
    <x v="19"/>
  </r>
  <r>
    <s v="Gastos Fijos"/>
    <x v="6"/>
    <x v="20"/>
  </r>
  <r>
    <s v="Gastos Fijos"/>
    <x v="6"/>
    <x v="21"/>
  </r>
  <r>
    <s v="Gastos Fijos"/>
    <x v="7"/>
    <x v="22"/>
  </r>
  <r>
    <s v="Gastos Fijos"/>
    <x v="8"/>
    <x v="23"/>
  </r>
  <r>
    <s v="Gastos Fijos"/>
    <x v="9"/>
    <x v="24"/>
  </r>
  <r>
    <s v="Gastos Fijos"/>
    <x v="10"/>
    <x v="25"/>
  </r>
  <r>
    <s v="Gastos Fijos"/>
    <x v="10"/>
    <x v="26"/>
  </r>
  <r>
    <s v="Gastos Fijos"/>
    <x v="11"/>
    <x v="27"/>
  </r>
  <r>
    <s v="Gastos Fijos"/>
    <x v="10"/>
    <x v="28"/>
  </r>
  <r>
    <s v="Gastos Fijos"/>
    <x v="12"/>
    <x v="29"/>
  </r>
  <r>
    <s v="Gastos Fijos"/>
    <x v="13"/>
    <x v="30"/>
  </r>
  <r>
    <s v="Gastos Fijos"/>
    <x v="13"/>
    <x v="31"/>
  </r>
  <r>
    <s v="Gastos Fijos"/>
    <x v="13"/>
    <x v="32"/>
  </r>
  <r>
    <s v="Gastos Fijos"/>
    <x v="14"/>
    <x v="33"/>
  </r>
  <r>
    <s v="Gastos Fijos"/>
    <x v="15"/>
    <x v="33"/>
  </r>
  <r>
    <s v="Gastos Fijos"/>
    <x v="16"/>
    <x v="34"/>
  </r>
  <r>
    <s v="Gastos Fijos"/>
    <x v="16"/>
    <x v="35"/>
  </r>
  <r>
    <s v="Gastos Fijos"/>
    <x v="16"/>
    <x v="36"/>
  </r>
  <r>
    <s v="Gastos Fijos"/>
    <x v="16"/>
    <x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1EF93-08FF-4BB1-8402-87FFCE81814A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5" firstHeaderRow="1" firstDataRow="1" firstDataCol="1"/>
  <pivotFields count="2">
    <pivotField axis="axisRow" showAll="0">
      <items count="12">
        <item x="4"/>
        <item x="2"/>
        <item x="9"/>
        <item x="10"/>
        <item x="7"/>
        <item x="8"/>
        <item x="6"/>
        <item x="5"/>
        <item x="1"/>
        <item x="0"/>
        <item x="3"/>
        <item t="default"/>
      </items>
    </pivotField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uenta de Ítem de Gast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56E87-7535-4391-AB86-29EAEAC364C4}" name="TablaDiná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43" firstHeaderRow="1" firstDataRow="1" firstDataCol="2"/>
  <pivotFields count="3">
    <pivotField compact="0" outline="0" showAll="0"/>
    <pivotField axis="axisRow" compact="0" outline="0" showAll="0" defaultSubtotal="0">
      <items count="17">
        <item x="4"/>
        <item x="2"/>
        <item x="15"/>
        <item x="11"/>
        <item x="16"/>
        <item x="13"/>
        <item x="12"/>
        <item x="8"/>
        <item x="14"/>
        <item x="6"/>
        <item x="5"/>
        <item x="10"/>
        <item x="1"/>
        <item x="9"/>
        <item x="7"/>
        <item x="0"/>
        <item x="3"/>
      </items>
    </pivotField>
    <pivotField axis="axisRow" compact="0" outline="0" showAll="0">
      <items count="39">
        <item x="35"/>
        <item x="10"/>
        <item x="8"/>
        <item x="34"/>
        <item x="32"/>
        <item x="30"/>
        <item x="37"/>
        <item x="16"/>
        <item x="20"/>
        <item x="17"/>
        <item x="27"/>
        <item x="18"/>
        <item x="4"/>
        <item x="11"/>
        <item x="19"/>
        <item x="29"/>
        <item x="5"/>
        <item x="23"/>
        <item x="13"/>
        <item x="15"/>
        <item x="12"/>
        <item x="26"/>
        <item x="25"/>
        <item x="21"/>
        <item x="28"/>
        <item x="31"/>
        <item x="7"/>
        <item x="36"/>
        <item x="24"/>
        <item x="22"/>
        <item x="0"/>
        <item x="3"/>
        <item x="2"/>
        <item x="1"/>
        <item x="14"/>
        <item x="9"/>
        <item x="6"/>
        <item x="33"/>
        <item t="default"/>
      </items>
    </pivotField>
  </pivotFields>
  <rowFields count="2">
    <field x="1"/>
    <field x="2"/>
  </rowFields>
  <rowItems count="40">
    <i>
      <x/>
      <x v="1"/>
    </i>
    <i>
      <x v="1"/>
      <x v="2"/>
    </i>
    <i>
      <x v="2"/>
      <x v="37"/>
    </i>
    <i>
      <x v="3"/>
      <x v="10"/>
    </i>
    <i>
      <x v="4"/>
      <x/>
    </i>
    <i r="1">
      <x v="3"/>
    </i>
    <i r="1">
      <x v="6"/>
    </i>
    <i r="1">
      <x v="27"/>
    </i>
    <i>
      <x v="5"/>
      <x v="4"/>
    </i>
    <i r="1">
      <x v="5"/>
    </i>
    <i r="1">
      <x v="25"/>
    </i>
    <i>
      <x v="6"/>
      <x v="15"/>
    </i>
    <i>
      <x v="7"/>
      <x v="17"/>
    </i>
    <i>
      <x v="8"/>
      <x v="37"/>
    </i>
    <i>
      <x v="9"/>
      <x v="7"/>
    </i>
    <i r="1">
      <x v="8"/>
    </i>
    <i r="1">
      <x v="9"/>
    </i>
    <i r="1">
      <x v="11"/>
    </i>
    <i r="1">
      <x v="14"/>
    </i>
    <i r="1">
      <x v="23"/>
    </i>
    <i>
      <x v="10"/>
      <x v="13"/>
    </i>
    <i r="1">
      <x v="18"/>
    </i>
    <i r="1">
      <x v="19"/>
    </i>
    <i r="1">
      <x v="20"/>
    </i>
    <i r="1">
      <x v="34"/>
    </i>
    <i>
      <x v="11"/>
      <x v="21"/>
    </i>
    <i r="1">
      <x v="22"/>
    </i>
    <i r="1">
      <x v="24"/>
    </i>
    <i>
      <x v="12"/>
      <x v="26"/>
    </i>
    <i>
      <x v="13"/>
      <x v="28"/>
    </i>
    <i>
      <x v="14"/>
      <x v="29"/>
    </i>
    <i>
      <x v="15"/>
      <x v="12"/>
    </i>
    <i r="1">
      <x v="16"/>
    </i>
    <i r="1">
      <x v="30"/>
    </i>
    <i r="1">
      <x v="31"/>
    </i>
    <i r="1">
      <x v="32"/>
    </i>
    <i r="1">
      <x v="33"/>
    </i>
    <i r="1">
      <x v="36"/>
    </i>
    <i>
      <x v="16"/>
      <x v="3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9C932-BD25-432A-A622-FF6A88A6F018}">
  <dimension ref="A3:B15"/>
  <sheetViews>
    <sheetView topLeftCell="A3" zoomScale="220" zoomScaleNormal="220" workbookViewId="0">
      <selection activeCell="A14" sqref="A14"/>
    </sheetView>
  </sheetViews>
  <sheetFormatPr baseColWidth="10" defaultRowHeight="14.4" x14ac:dyDescent="0.3"/>
  <cols>
    <col min="1" max="1" width="18.88671875" bestFit="1" customWidth="1"/>
    <col min="2" max="2" width="22.88671875" bestFit="1" customWidth="1"/>
  </cols>
  <sheetData>
    <row r="3" spans="1:2" x14ac:dyDescent="0.3">
      <c r="A3" s="1" t="s">
        <v>44</v>
      </c>
      <c r="B3" t="s">
        <v>46</v>
      </c>
    </row>
    <row r="4" spans="1:2" x14ac:dyDescent="0.3">
      <c r="A4" s="2" t="s">
        <v>19</v>
      </c>
      <c r="B4" s="3">
        <v>1</v>
      </c>
    </row>
    <row r="5" spans="1:2" x14ac:dyDescent="0.3">
      <c r="A5" s="2" t="s">
        <v>8</v>
      </c>
      <c r="B5" s="3">
        <v>1</v>
      </c>
    </row>
    <row r="6" spans="1:2" x14ac:dyDescent="0.3">
      <c r="A6" s="2" t="s">
        <v>41</v>
      </c>
      <c r="B6" s="3"/>
    </row>
    <row r="7" spans="1:2" x14ac:dyDescent="0.3">
      <c r="A7" s="2" t="s">
        <v>36</v>
      </c>
      <c r="B7" s="3">
        <v>4</v>
      </c>
    </row>
    <row r="8" spans="1:2" x14ac:dyDescent="0.3">
      <c r="A8" s="2" t="s">
        <v>43</v>
      </c>
      <c r="B8" s="3">
        <v>10</v>
      </c>
    </row>
    <row r="9" spans="1:2" x14ac:dyDescent="0.3">
      <c r="A9" s="2" t="s">
        <v>40</v>
      </c>
      <c r="B9" s="3"/>
    </row>
    <row r="10" spans="1:2" x14ac:dyDescent="0.3">
      <c r="A10" s="2" t="s">
        <v>34</v>
      </c>
      <c r="B10" s="3">
        <v>6</v>
      </c>
    </row>
    <row r="11" spans="1:2" x14ac:dyDescent="0.3">
      <c r="A11" s="2" t="s">
        <v>31</v>
      </c>
      <c r="B11" s="3">
        <v>5</v>
      </c>
    </row>
    <row r="12" spans="1:2" x14ac:dyDescent="0.3">
      <c r="A12" s="2" t="s">
        <v>7</v>
      </c>
      <c r="B12" s="3">
        <v>1</v>
      </c>
    </row>
    <row r="13" spans="1:2" x14ac:dyDescent="0.3">
      <c r="A13" s="2" t="s">
        <v>30</v>
      </c>
      <c r="B13" s="3">
        <v>7</v>
      </c>
    </row>
    <row r="14" spans="1:2" x14ac:dyDescent="0.3">
      <c r="A14" s="2" t="s">
        <v>9</v>
      </c>
      <c r="B14" s="3">
        <v>1</v>
      </c>
    </row>
    <row r="15" spans="1:2" x14ac:dyDescent="0.3">
      <c r="A15" s="2" t="s">
        <v>45</v>
      </c>
      <c r="B15" s="3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3A594-4131-476A-A950-DA128592F231}">
  <dimension ref="A3:B43"/>
  <sheetViews>
    <sheetView zoomScale="205" zoomScaleNormal="205" workbookViewId="0">
      <selection activeCell="A8" sqref="A8"/>
    </sheetView>
  </sheetViews>
  <sheetFormatPr baseColWidth="10" defaultRowHeight="14.4" x14ac:dyDescent="0.3"/>
  <cols>
    <col min="1" max="1" width="44.88671875" bestFit="1" customWidth="1"/>
    <col min="2" max="2" width="38.88671875" bestFit="1" customWidth="1"/>
  </cols>
  <sheetData>
    <row r="3" spans="1:2" x14ac:dyDescent="0.3">
      <c r="A3" s="1" t="s">
        <v>47</v>
      </c>
      <c r="B3" s="1" t="s">
        <v>48</v>
      </c>
    </row>
    <row r="4" spans="1:2" x14ac:dyDescent="0.3">
      <c r="A4" t="s">
        <v>19</v>
      </c>
      <c r="B4" t="s">
        <v>19</v>
      </c>
    </row>
    <row r="5" spans="1:2" x14ac:dyDescent="0.3">
      <c r="A5" t="s">
        <v>8</v>
      </c>
      <c r="B5" t="s">
        <v>8</v>
      </c>
    </row>
    <row r="6" spans="1:2" x14ac:dyDescent="0.3">
      <c r="A6" t="s">
        <v>41</v>
      </c>
      <c r="B6" t="s">
        <v>52</v>
      </c>
    </row>
    <row r="7" spans="1:2" x14ac:dyDescent="0.3">
      <c r="A7" t="s">
        <v>24</v>
      </c>
      <c r="B7" t="s">
        <v>24</v>
      </c>
    </row>
    <row r="8" spans="1:2" x14ac:dyDescent="0.3">
      <c r="A8" t="s">
        <v>36</v>
      </c>
      <c r="B8" t="s">
        <v>38</v>
      </c>
    </row>
    <row r="9" spans="1:2" x14ac:dyDescent="0.3">
      <c r="B9" t="s">
        <v>37</v>
      </c>
    </row>
    <row r="10" spans="1:2" x14ac:dyDescent="0.3">
      <c r="B10" t="s">
        <v>42</v>
      </c>
    </row>
    <row r="11" spans="1:2" x14ac:dyDescent="0.3">
      <c r="B11" t="s">
        <v>39</v>
      </c>
    </row>
    <row r="12" spans="1:2" x14ac:dyDescent="0.3">
      <c r="A12" t="s">
        <v>43</v>
      </c>
      <c r="B12" t="s">
        <v>29</v>
      </c>
    </row>
    <row r="13" spans="1:2" x14ac:dyDescent="0.3">
      <c r="B13" t="s">
        <v>27</v>
      </c>
    </row>
    <row r="14" spans="1:2" x14ac:dyDescent="0.3">
      <c r="B14" t="s">
        <v>28</v>
      </c>
    </row>
    <row r="15" spans="1:2" x14ac:dyDescent="0.3">
      <c r="A15" t="s">
        <v>49</v>
      </c>
      <c r="B15" t="s">
        <v>26</v>
      </c>
    </row>
    <row r="16" spans="1:2" x14ac:dyDescent="0.3">
      <c r="A16" t="s">
        <v>21</v>
      </c>
      <c r="B16" t="s">
        <v>21</v>
      </c>
    </row>
    <row r="17" spans="1:2" x14ac:dyDescent="0.3">
      <c r="A17" t="s">
        <v>40</v>
      </c>
      <c r="B17" t="s">
        <v>52</v>
      </c>
    </row>
    <row r="18" spans="1:2" x14ac:dyDescent="0.3">
      <c r="A18" t="s">
        <v>50</v>
      </c>
      <c r="B18" t="s">
        <v>14</v>
      </c>
    </row>
    <row r="19" spans="1:2" x14ac:dyDescent="0.3">
      <c r="B19" t="s">
        <v>18</v>
      </c>
    </row>
    <row r="20" spans="1:2" x14ac:dyDescent="0.3">
      <c r="B20" t="s">
        <v>15</v>
      </c>
    </row>
    <row r="21" spans="1:2" x14ac:dyDescent="0.3">
      <c r="B21" t="s">
        <v>16</v>
      </c>
    </row>
    <row r="22" spans="1:2" x14ac:dyDescent="0.3">
      <c r="B22" t="s">
        <v>17</v>
      </c>
    </row>
    <row r="23" spans="1:2" x14ac:dyDescent="0.3">
      <c r="B23" t="s">
        <v>33</v>
      </c>
    </row>
    <row r="24" spans="1:2" x14ac:dyDescent="0.3">
      <c r="A24" t="s">
        <v>31</v>
      </c>
      <c r="B24" t="s">
        <v>10</v>
      </c>
    </row>
    <row r="25" spans="1:2" x14ac:dyDescent="0.3">
      <c r="B25" t="s">
        <v>32</v>
      </c>
    </row>
    <row r="26" spans="1:2" x14ac:dyDescent="0.3">
      <c r="B26" t="s">
        <v>13</v>
      </c>
    </row>
    <row r="27" spans="1:2" x14ac:dyDescent="0.3">
      <c r="B27" t="s">
        <v>11</v>
      </c>
    </row>
    <row r="28" spans="1:2" x14ac:dyDescent="0.3">
      <c r="B28" t="s">
        <v>12</v>
      </c>
    </row>
    <row r="29" spans="1:2" x14ac:dyDescent="0.3">
      <c r="A29" t="s">
        <v>25</v>
      </c>
      <c r="B29" t="s">
        <v>51</v>
      </c>
    </row>
    <row r="30" spans="1:2" x14ac:dyDescent="0.3">
      <c r="B30" t="s">
        <v>23</v>
      </c>
    </row>
    <row r="31" spans="1:2" x14ac:dyDescent="0.3">
      <c r="B31" t="s">
        <v>25</v>
      </c>
    </row>
    <row r="32" spans="1:2" x14ac:dyDescent="0.3">
      <c r="A32" t="s">
        <v>7</v>
      </c>
      <c r="B32" t="s">
        <v>7</v>
      </c>
    </row>
    <row r="33" spans="1:2" x14ac:dyDescent="0.3">
      <c r="A33" t="s">
        <v>22</v>
      </c>
      <c r="B33" t="s">
        <v>22</v>
      </c>
    </row>
    <row r="34" spans="1:2" x14ac:dyDescent="0.3">
      <c r="A34" t="s">
        <v>20</v>
      </c>
      <c r="B34" t="s">
        <v>20</v>
      </c>
    </row>
    <row r="35" spans="1:2" x14ac:dyDescent="0.3">
      <c r="A35" t="s">
        <v>30</v>
      </c>
      <c r="B35" t="s">
        <v>4</v>
      </c>
    </row>
    <row r="36" spans="1:2" x14ac:dyDescent="0.3">
      <c r="B36" t="s">
        <v>5</v>
      </c>
    </row>
    <row r="37" spans="1:2" x14ac:dyDescent="0.3">
      <c r="B37" t="s">
        <v>1</v>
      </c>
    </row>
    <row r="38" spans="1:2" x14ac:dyDescent="0.3">
      <c r="B38" t="s">
        <v>35</v>
      </c>
    </row>
    <row r="39" spans="1:2" x14ac:dyDescent="0.3">
      <c r="B39" t="s">
        <v>3</v>
      </c>
    </row>
    <row r="40" spans="1:2" x14ac:dyDescent="0.3">
      <c r="B40" t="s">
        <v>2</v>
      </c>
    </row>
    <row r="41" spans="1:2" x14ac:dyDescent="0.3">
      <c r="B41" t="s">
        <v>6</v>
      </c>
    </row>
    <row r="42" spans="1:2" x14ac:dyDescent="0.3">
      <c r="A42" t="s">
        <v>9</v>
      </c>
      <c r="B42" t="s">
        <v>9</v>
      </c>
    </row>
    <row r="43" spans="1:2" x14ac:dyDescent="0.3">
      <c r="A4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FB401-1400-405F-8CC9-F601C788CD54}">
  <dimension ref="A1:G74"/>
  <sheetViews>
    <sheetView tabSelected="1" zoomScale="145" zoomScaleNormal="145" workbookViewId="0">
      <selection sqref="A1:C74"/>
    </sheetView>
  </sheetViews>
  <sheetFormatPr baseColWidth="10" defaultRowHeight="14.4" x14ac:dyDescent="0.3"/>
  <cols>
    <col min="1" max="1" width="18.21875" customWidth="1"/>
    <col min="2" max="2" width="24.109375" bestFit="1" customWidth="1"/>
    <col min="3" max="3" width="38.88671875" bestFit="1" customWidth="1"/>
  </cols>
  <sheetData>
    <row r="1" spans="1:3" x14ac:dyDescent="0.3">
      <c r="A1" s="4" t="s">
        <v>0</v>
      </c>
      <c r="B1" s="4" t="s">
        <v>47</v>
      </c>
      <c r="C1" s="4" t="s">
        <v>48</v>
      </c>
    </row>
    <row r="2" spans="1:3" x14ac:dyDescent="0.3">
      <c r="A2" t="s">
        <v>43</v>
      </c>
      <c r="B2" t="s">
        <v>30</v>
      </c>
      <c r="C2" t="s">
        <v>1</v>
      </c>
    </row>
    <row r="3" spans="1:3" x14ac:dyDescent="0.3">
      <c r="A3" t="s">
        <v>43</v>
      </c>
      <c r="B3" t="s">
        <v>30</v>
      </c>
      <c r="C3" t="s">
        <v>2</v>
      </c>
    </row>
    <row r="4" spans="1:3" x14ac:dyDescent="0.3">
      <c r="A4" t="s">
        <v>43</v>
      </c>
      <c r="B4" t="s">
        <v>30</v>
      </c>
      <c r="C4" t="s">
        <v>3</v>
      </c>
    </row>
    <row r="5" spans="1:3" x14ac:dyDescent="0.3">
      <c r="A5" t="s">
        <v>43</v>
      </c>
      <c r="B5" t="s">
        <v>30</v>
      </c>
      <c r="C5" t="s">
        <v>35</v>
      </c>
    </row>
    <row r="6" spans="1:3" x14ac:dyDescent="0.3">
      <c r="A6" t="s">
        <v>43</v>
      </c>
      <c r="B6" t="s">
        <v>30</v>
      </c>
      <c r="C6" t="s">
        <v>4</v>
      </c>
    </row>
    <row r="7" spans="1:3" x14ac:dyDescent="0.3">
      <c r="A7" t="s">
        <v>43</v>
      </c>
      <c r="B7" t="s">
        <v>30</v>
      </c>
      <c r="C7" t="s">
        <v>5</v>
      </c>
    </row>
    <row r="8" spans="1:3" x14ac:dyDescent="0.3">
      <c r="A8" t="s">
        <v>43</v>
      </c>
      <c r="B8" t="s">
        <v>30</v>
      </c>
      <c r="C8" t="s">
        <v>6</v>
      </c>
    </row>
    <row r="9" spans="1:3" x14ac:dyDescent="0.3">
      <c r="A9" t="s">
        <v>43</v>
      </c>
      <c r="B9" t="s">
        <v>7</v>
      </c>
      <c r="C9" t="s">
        <v>7</v>
      </c>
    </row>
    <row r="10" spans="1:3" x14ac:dyDescent="0.3">
      <c r="A10" t="s">
        <v>43</v>
      </c>
      <c r="B10" t="s">
        <v>8</v>
      </c>
      <c r="C10" t="s">
        <v>8</v>
      </c>
    </row>
    <row r="11" spans="1:3" x14ac:dyDescent="0.3">
      <c r="A11" t="s">
        <v>43</v>
      </c>
      <c r="B11" t="s">
        <v>9</v>
      </c>
      <c r="C11" t="s">
        <v>9</v>
      </c>
    </row>
    <row r="12" spans="1:3" x14ac:dyDescent="0.3">
      <c r="A12" t="s">
        <v>43</v>
      </c>
      <c r="B12" t="s">
        <v>19</v>
      </c>
      <c r="C12" t="s">
        <v>19</v>
      </c>
    </row>
    <row r="13" spans="1:3" x14ac:dyDescent="0.3">
      <c r="A13" t="s">
        <v>43</v>
      </c>
      <c r="B13" t="s">
        <v>31</v>
      </c>
      <c r="C13" t="s">
        <v>10</v>
      </c>
    </row>
    <row r="14" spans="1:3" x14ac:dyDescent="0.3">
      <c r="A14" t="s">
        <v>43</v>
      </c>
      <c r="B14" t="s">
        <v>31</v>
      </c>
      <c r="C14" t="s">
        <v>11</v>
      </c>
    </row>
    <row r="15" spans="1:3" x14ac:dyDescent="0.3">
      <c r="A15" t="s">
        <v>43</v>
      </c>
      <c r="B15" t="s">
        <v>31</v>
      </c>
      <c r="C15" t="s">
        <v>32</v>
      </c>
    </row>
    <row r="16" spans="1:3" x14ac:dyDescent="0.3">
      <c r="A16" t="s">
        <v>43</v>
      </c>
      <c r="B16" t="s">
        <v>31</v>
      </c>
      <c r="C16" t="s">
        <v>12</v>
      </c>
    </row>
    <row r="17" spans="1:3" x14ac:dyDescent="0.3">
      <c r="A17" t="s">
        <v>43</v>
      </c>
      <c r="B17" t="s">
        <v>31</v>
      </c>
      <c r="C17" t="s">
        <v>13</v>
      </c>
    </row>
    <row r="18" spans="1:3" x14ac:dyDescent="0.3">
      <c r="A18" t="s">
        <v>43</v>
      </c>
      <c r="B18" t="s">
        <v>50</v>
      </c>
      <c r="C18" t="s">
        <v>14</v>
      </c>
    </row>
    <row r="19" spans="1:3" x14ac:dyDescent="0.3">
      <c r="A19" t="s">
        <v>43</v>
      </c>
      <c r="B19" t="s">
        <v>50</v>
      </c>
      <c r="C19" t="s">
        <v>15</v>
      </c>
    </row>
    <row r="20" spans="1:3" x14ac:dyDescent="0.3">
      <c r="A20" t="s">
        <v>43</v>
      </c>
      <c r="B20" t="s">
        <v>50</v>
      </c>
      <c r="C20" t="s">
        <v>16</v>
      </c>
    </row>
    <row r="21" spans="1:3" x14ac:dyDescent="0.3">
      <c r="A21" t="s">
        <v>43</v>
      </c>
      <c r="B21" t="s">
        <v>50</v>
      </c>
      <c r="C21" t="s">
        <v>17</v>
      </c>
    </row>
    <row r="22" spans="1:3" x14ac:dyDescent="0.3">
      <c r="A22" t="s">
        <v>43</v>
      </c>
      <c r="B22" t="s">
        <v>50</v>
      </c>
      <c r="C22" t="s">
        <v>18</v>
      </c>
    </row>
    <row r="23" spans="1:3" x14ac:dyDescent="0.3">
      <c r="A23" t="s">
        <v>43</v>
      </c>
      <c r="B23" t="s">
        <v>50</v>
      </c>
      <c r="C23" t="s">
        <v>33</v>
      </c>
    </row>
    <row r="24" spans="1:3" x14ac:dyDescent="0.3">
      <c r="A24" t="s">
        <v>43</v>
      </c>
      <c r="B24" t="s">
        <v>20</v>
      </c>
      <c r="C24" t="s">
        <v>20</v>
      </c>
    </row>
    <row r="25" spans="1:3" x14ac:dyDescent="0.3">
      <c r="A25" t="s">
        <v>43</v>
      </c>
      <c r="B25" t="s">
        <v>21</v>
      </c>
      <c r="C25" t="s">
        <v>21</v>
      </c>
    </row>
    <row r="26" spans="1:3" x14ac:dyDescent="0.3">
      <c r="A26" t="s">
        <v>43</v>
      </c>
      <c r="B26" t="s">
        <v>22</v>
      </c>
      <c r="C26" t="s">
        <v>22</v>
      </c>
    </row>
    <row r="27" spans="1:3" x14ac:dyDescent="0.3">
      <c r="A27" t="s">
        <v>43</v>
      </c>
      <c r="B27" t="s">
        <v>25</v>
      </c>
      <c r="C27" t="s">
        <v>23</v>
      </c>
    </row>
    <row r="28" spans="1:3" x14ac:dyDescent="0.3">
      <c r="A28" t="s">
        <v>43</v>
      </c>
      <c r="B28" t="s">
        <v>25</v>
      </c>
      <c r="C28" t="s">
        <v>51</v>
      </c>
    </row>
    <row r="29" spans="1:3" x14ac:dyDescent="0.3">
      <c r="A29" t="s">
        <v>43</v>
      </c>
      <c r="B29" t="s">
        <v>24</v>
      </c>
      <c r="C29" t="s">
        <v>24</v>
      </c>
    </row>
    <row r="30" spans="1:3" x14ac:dyDescent="0.3">
      <c r="A30" t="s">
        <v>43</v>
      </c>
      <c r="B30" t="s">
        <v>25</v>
      </c>
      <c r="C30" t="s">
        <v>25</v>
      </c>
    </row>
    <row r="31" spans="1:3" x14ac:dyDescent="0.3">
      <c r="A31" t="s">
        <v>43</v>
      </c>
      <c r="B31" t="s">
        <v>26</v>
      </c>
      <c r="C31" t="s">
        <v>26</v>
      </c>
    </row>
    <row r="32" spans="1:3" x14ac:dyDescent="0.3">
      <c r="A32" t="s">
        <v>43</v>
      </c>
      <c r="B32" t="s">
        <v>27</v>
      </c>
      <c r="C32" t="s">
        <v>27</v>
      </c>
    </row>
    <row r="33" spans="1:7" x14ac:dyDescent="0.3">
      <c r="A33" t="s">
        <v>43</v>
      </c>
      <c r="B33" t="s">
        <v>28</v>
      </c>
      <c r="C33" t="s">
        <v>28</v>
      </c>
    </row>
    <row r="34" spans="1:7" x14ac:dyDescent="0.3">
      <c r="A34" t="s">
        <v>43</v>
      </c>
      <c r="B34" t="s">
        <v>29</v>
      </c>
      <c r="C34" t="s">
        <v>29</v>
      </c>
    </row>
    <row r="35" spans="1:7" x14ac:dyDescent="0.3">
      <c r="A35" t="s">
        <v>43</v>
      </c>
      <c r="B35" t="s">
        <v>40</v>
      </c>
    </row>
    <row r="36" spans="1:7" x14ac:dyDescent="0.3">
      <c r="A36" t="s">
        <v>36</v>
      </c>
      <c r="B36" t="s">
        <v>30</v>
      </c>
      <c r="C36" t="s">
        <v>1</v>
      </c>
    </row>
    <row r="37" spans="1:7" x14ac:dyDescent="0.3">
      <c r="A37" t="s">
        <v>36</v>
      </c>
      <c r="B37" t="s">
        <v>30</v>
      </c>
      <c r="C37" t="s">
        <v>2</v>
      </c>
    </row>
    <row r="38" spans="1:7" x14ac:dyDescent="0.3">
      <c r="A38" t="s">
        <v>36</v>
      </c>
      <c r="B38" t="s">
        <v>30</v>
      </c>
      <c r="C38" t="s">
        <v>3</v>
      </c>
      <c r="E38">
        <v>3.93</v>
      </c>
      <c r="F38">
        <v>40</v>
      </c>
      <c r="G38">
        <f>+F38*E38</f>
        <v>157.20000000000002</v>
      </c>
    </row>
    <row r="39" spans="1:7" x14ac:dyDescent="0.3">
      <c r="A39" t="s">
        <v>36</v>
      </c>
      <c r="B39" t="s">
        <v>30</v>
      </c>
      <c r="C39" t="s">
        <v>35</v>
      </c>
    </row>
    <row r="40" spans="1:7" x14ac:dyDescent="0.3">
      <c r="A40" t="s">
        <v>36</v>
      </c>
      <c r="B40" t="s">
        <v>30</v>
      </c>
      <c r="C40" t="s">
        <v>4</v>
      </c>
    </row>
    <row r="41" spans="1:7" x14ac:dyDescent="0.3">
      <c r="A41" t="s">
        <v>36</v>
      </c>
      <c r="B41" t="s">
        <v>30</v>
      </c>
      <c r="C41" t="s">
        <v>5</v>
      </c>
      <c r="F41">
        <v>200</v>
      </c>
    </row>
    <row r="42" spans="1:7" x14ac:dyDescent="0.3">
      <c r="A42" t="s">
        <v>36</v>
      </c>
      <c r="B42" t="s">
        <v>30</v>
      </c>
      <c r="C42" t="s">
        <v>6</v>
      </c>
      <c r="F42">
        <f>+F41/F38</f>
        <v>5</v>
      </c>
    </row>
    <row r="43" spans="1:7" x14ac:dyDescent="0.3">
      <c r="A43" t="s">
        <v>36</v>
      </c>
      <c r="B43" t="s">
        <v>7</v>
      </c>
      <c r="C43" t="s">
        <v>7</v>
      </c>
    </row>
    <row r="44" spans="1:7" x14ac:dyDescent="0.3">
      <c r="A44" t="s">
        <v>36</v>
      </c>
      <c r="B44" t="s">
        <v>8</v>
      </c>
      <c r="C44" t="s">
        <v>8</v>
      </c>
    </row>
    <row r="45" spans="1:7" x14ac:dyDescent="0.3">
      <c r="A45" t="s">
        <v>36</v>
      </c>
      <c r="B45" t="s">
        <v>9</v>
      </c>
      <c r="C45" t="s">
        <v>9</v>
      </c>
    </row>
    <row r="46" spans="1:7" x14ac:dyDescent="0.3">
      <c r="A46" t="s">
        <v>36</v>
      </c>
      <c r="B46" t="s">
        <v>19</v>
      </c>
      <c r="C46" t="s">
        <v>19</v>
      </c>
    </row>
    <row r="47" spans="1:7" x14ac:dyDescent="0.3">
      <c r="A47" t="s">
        <v>36</v>
      </c>
      <c r="B47" t="s">
        <v>31</v>
      </c>
      <c r="C47" t="s">
        <v>10</v>
      </c>
    </row>
    <row r="48" spans="1:7" x14ac:dyDescent="0.3">
      <c r="A48" t="s">
        <v>36</v>
      </c>
      <c r="B48" t="s">
        <v>31</v>
      </c>
      <c r="C48" t="s">
        <v>11</v>
      </c>
    </row>
    <row r="49" spans="1:3" x14ac:dyDescent="0.3">
      <c r="A49" t="s">
        <v>36</v>
      </c>
      <c r="B49" t="s">
        <v>31</v>
      </c>
      <c r="C49" t="s">
        <v>32</v>
      </c>
    </row>
    <row r="50" spans="1:3" x14ac:dyDescent="0.3">
      <c r="A50" t="s">
        <v>36</v>
      </c>
      <c r="B50" t="s">
        <v>31</v>
      </c>
      <c r="C50" t="s">
        <v>12</v>
      </c>
    </row>
    <row r="51" spans="1:3" x14ac:dyDescent="0.3">
      <c r="A51" t="s">
        <v>36</v>
      </c>
      <c r="B51" t="s">
        <v>31</v>
      </c>
      <c r="C51" t="s">
        <v>13</v>
      </c>
    </row>
    <row r="52" spans="1:3" x14ac:dyDescent="0.3">
      <c r="A52" t="s">
        <v>36</v>
      </c>
      <c r="B52" t="s">
        <v>50</v>
      </c>
      <c r="C52" t="s">
        <v>14</v>
      </c>
    </row>
    <row r="53" spans="1:3" x14ac:dyDescent="0.3">
      <c r="A53" t="s">
        <v>36</v>
      </c>
      <c r="B53" t="s">
        <v>50</v>
      </c>
      <c r="C53" t="s">
        <v>15</v>
      </c>
    </row>
    <row r="54" spans="1:3" x14ac:dyDescent="0.3">
      <c r="A54" t="s">
        <v>36</v>
      </c>
      <c r="B54" t="s">
        <v>50</v>
      </c>
      <c r="C54" t="s">
        <v>16</v>
      </c>
    </row>
    <row r="55" spans="1:3" x14ac:dyDescent="0.3">
      <c r="A55" t="s">
        <v>36</v>
      </c>
      <c r="B55" t="s">
        <v>50</v>
      </c>
      <c r="C55" t="s">
        <v>17</v>
      </c>
    </row>
    <row r="56" spans="1:3" x14ac:dyDescent="0.3">
      <c r="A56" t="s">
        <v>36</v>
      </c>
      <c r="B56" t="s">
        <v>50</v>
      </c>
      <c r="C56" t="s">
        <v>18</v>
      </c>
    </row>
    <row r="57" spans="1:3" x14ac:dyDescent="0.3">
      <c r="A57" t="s">
        <v>36</v>
      </c>
      <c r="B57" t="s">
        <v>50</v>
      </c>
      <c r="C57" t="s">
        <v>33</v>
      </c>
    </row>
    <row r="58" spans="1:3" x14ac:dyDescent="0.3">
      <c r="A58" t="s">
        <v>36</v>
      </c>
      <c r="B58" t="s">
        <v>20</v>
      </c>
      <c r="C58" t="s">
        <v>20</v>
      </c>
    </row>
    <row r="59" spans="1:3" x14ac:dyDescent="0.3">
      <c r="A59" t="s">
        <v>36</v>
      </c>
      <c r="B59" t="s">
        <v>21</v>
      </c>
      <c r="C59" t="s">
        <v>21</v>
      </c>
    </row>
    <row r="60" spans="1:3" x14ac:dyDescent="0.3">
      <c r="A60" t="s">
        <v>36</v>
      </c>
      <c r="B60" t="s">
        <v>22</v>
      </c>
      <c r="C60" t="s">
        <v>22</v>
      </c>
    </row>
    <row r="61" spans="1:3" x14ac:dyDescent="0.3">
      <c r="A61" t="s">
        <v>36</v>
      </c>
      <c r="B61" t="s">
        <v>25</v>
      </c>
      <c r="C61" t="s">
        <v>23</v>
      </c>
    </row>
    <row r="62" spans="1:3" x14ac:dyDescent="0.3">
      <c r="A62" t="s">
        <v>36</v>
      </c>
      <c r="B62" t="s">
        <v>25</v>
      </c>
      <c r="C62" t="s">
        <v>51</v>
      </c>
    </row>
    <row r="63" spans="1:3" x14ac:dyDescent="0.3">
      <c r="A63" t="s">
        <v>36</v>
      </c>
      <c r="B63" t="s">
        <v>24</v>
      </c>
      <c r="C63" t="s">
        <v>24</v>
      </c>
    </row>
    <row r="64" spans="1:3" x14ac:dyDescent="0.3">
      <c r="A64" t="s">
        <v>36</v>
      </c>
      <c r="B64" t="s">
        <v>25</v>
      </c>
      <c r="C64" t="s">
        <v>25</v>
      </c>
    </row>
    <row r="65" spans="1:3" x14ac:dyDescent="0.3">
      <c r="A65" t="s">
        <v>36</v>
      </c>
      <c r="B65" t="s">
        <v>49</v>
      </c>
      <c r="C65" t="s">
        <v>26</v>
      </c>
    </row>
    <row r="66" spans="1:3" x14ac:dyDescent="0.3">
      <c r="A66" t="s">
        <v>36</v>
      </c>
      <c r="B66" t="s">
        <v>43</v>
      </c>
      <c r="C66" t="s">
        <v>27</v>
      </c>
    </row>
    <row r="67" spans="1:3" x14ac:dyDescent="0.3">
      <c r="A67" t="s">
        <v>36</v>
      </c>
      <c r="B67" t="s">
        <v>43</v>
      </c>
      <c r="C67" t="s">
        <v>28</v>
      </c>
    </row>
    <row r="68" spans="1:3" x14ac:dyDescent="0.3">
      <c r="A68" t="s">
        <v>36</v>
      </c>
      <c r="B68" t="s">
        <v>43</v>
      </c>
      <c r="C68" t="s">
        <v>29</v>
      </c>
    </row>
    <row r="69" spans="1:3" x14ac:dyDescent="0.3">
      <c r="A69" t="s">
        <v>36</v>
      </c>
      <c r="B69" t="s">
        <v>40</v>
      </c>
      <c r="C69" t="s">
        <v>40</v>
      </c>
    </row>
    <row r="70" spans="1:3" x14ac:dyDescent="0.3">
      <c r="A70" t="s">
        <v>36</v>
      </c>
      <c r="B70" t="s">
        <v>41</v>
      </c>
      <c r="C70" t="s">
        <v>41</v>
      </c>
    </row>
    <row r="71" spans="1:3" x14ac:dyDescent="0.3">
      <c r="A71" t="s">
        <v>36</v>
      </c>
      <c r="B71" t="s">
        <v>54</v>
      </c>
      <c r="C71" t="s">
        <v>54</v>
      </c>
    </row>
    <row r="72" spans="1:3" x14ac:dyDescent="0.3">
      <c r="A72" t="s">
        <v>36</v>
      </c>
      <c r="B72" t="s">
        <v>53</v>
      </c>
      <c r="C72" t="s">
        <v>53</v>
      </c>
    </row>
    <row r="73" spans="1:3" x14ac:dyDescent="0.3">
      <c r="A73" t="s">
        <v>36</v>
      </c>
      <c r="B73" t="s">
        <v>55</v>
      </c>
      <c r="C73" t="s">
        <v>55</v>
      </c>
    </row>
    <row r="74" spans="1:3" x14ac:dyDescent="0.3">
      <c r="A74" t="s">
        <v>36</v>
      </c>
      <c r="B74" t="s">
        <v>56</v>
      </c>
      <c r="C7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Hoja3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Dirección Gerencia Deportiva</dc:creator>
  <cp:lastModifiedBy>Dirección Gerencia Deportiva</cp:lastModifiedBy>
  <dcterms:created xsi:type="dcterms:W3CDTF">2026-01-21T20:23:25Z</dcterms:created>
  <dcterms:modified xsi:type="dcterms:W3CDTF">2026-01-21T21:33:05Z</dcterms:modified>
</cp:coreProperties>
</file>